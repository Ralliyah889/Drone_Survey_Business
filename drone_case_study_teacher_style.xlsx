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_Statement" sheetId="1" state="visible" r:id="rId1"/>
    <sheet xmlns:r="http://schemas.openxmlformats.org/officeDocument/2006/relationships" name="Cost_Benefit" sheetId="2" state="visible" r:id="rId2"/>
    <sheet xmlns:r="http://schemas.openxmlformats.org/officeDocument/2006/relationships" name="PV_NPV" sheetId="3" state="visible" r:id="rId3"/>
    <sheet xmlns:r="http://schemas.openxmlformats.org/officeDocument/2006/relationships" name="Graph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Manual vs Drone Survey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'Graph_Data'!$A$2:$A$6</f>
            </numRef>
          </cat>
          <val>
            <numRef>
              <f>'Graph_Data'!$B$2:$B$6</f>
            </numRef>
          </val>
        </ser>
        <ser>
          <idx val="1"/>
          <order val="1"/>
          <tx>
            <strRef>
              <f>'Graph_Data'!C1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'Graph_Data'!$A$2:$A$6</f>
            </numRef>
          </cat>
          <val>
            <numRef>
              <f>'Graph_Data'!$C$2:$C$6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Drone Survey Cost Benefit Analysis</t>
        </is>
      </c>
    </row>
    <row r="3">
      <c r="A3" t="inlineStr">
        <is>
          <t>Current Operational Cost</t>
        </is>
      </c>
      <c r="B3" t="n">
        <v>4000000</v>
      </c>
    </row>
    <row r="4">
      <c r="A4" t="inlineStr">
        <is>
          <t>Cost Reduction %</t>
        </is>
      </c>
      <c r="B4" t="n">
        <v>0.45</v>
      </c>
    </row>
    <row r="5">
      <c r="A5" t="inlineStr">
        <is>
          <t>Drone Investment</t>
        </is>
      </c>
      <c r="B5" t="n">
        <v>7000000</v>
      </c>
    </row>
    <row r="6">
      <c r="A6" t="inlineStr">
        <is>
          <t>Project Life (Years)</t>
        </is>
      </c>
      <c r="B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Manual Cost</t>
        </is>
      </c>
      <c r="C1" s="1" t="inlineStr">
        <is>
          <t>Drone Cost</t>
        </is>
      </c>
      <c r="D1" s="1" t="inlineStr">
        <is>
          <t>Savings</t>
        </is>
      </c>
    </row>
    <row r="2">
      <c r="A2" t="n">
        <v>1</v>
      </c>
      <c r="B2" t="n">
        <v>4000000</v>
      </c>
      <c r="C2">
        <f>B2*(1-0.45)</f>
        <v/>
      </c>
      <c r="D2">
        <f>B2-C2</f>
        <v/>
      </c>
    </row>
    <row r="3">
      <c r="A3" t="n">
        <v>2</v>
      </c>
      <c r="B3" t="n">
        <v>4000000</v>
      </c>
      <c r="C3">
        <f>B3*(1-0.45)</f>
        <v/>
      </c>
      <c r="D3">
        <f>B3-C3</f>
        <v/>
      </c>
    </row>
    <row r="4">
      <c r="A4" t="n">
        <v>3</v>
      </c>
      <c r="B4" t="n">
        <v>4000000</v>
      </c>
      <c r="C4">
        <f>B4*(1-0.45)</f>
        <v/>
      </c>
      <c r="D4">
        <f>B4-C4</f>
        <v/>
      </c>
    </row>
    <row r="5">
      <c r="A5" t="n">
        <v>4</v>
      </c>
      <c r="B5" t="n">
        <v>4000000</v>
      </c>
      <c r="C5">
        <f>B5*(1-0.45)</f>
        <v/>
      </c>
      <c r="D5">
        <f>B5-C5</f>
        <v/>
      </c>
    </row>
    <row r="6">
      <c r="A6" t="n">
        <v>5</v>
      </c>
      <c r="B6" t="n">
        <v>4000000</v>
      </c>
      <c r="C6">
        <f>B6*(1-0.45)</f>
        <v/>
      </c>
      <c r="D6">
        <f>B6-C6</f>
        <v/>
      </c>
    </row>
    <row r="8">
      <c r="C8" t="inlineStr">
        <is>
          <t>Total Savings</t>
        </is>
      </c>
      <c r="D8">
        <f>SUM(D2:D6)</f>
        <v/>
      </c>
    </row>
    <row r="9">
      <c r="C9" t="inlineStr">
        <is>
          <t>Net Benefit</t>
        </is>
      </c>
      <c r="D9">
        <f>D8-7000000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Cash Flow</t>
        </is>
      </c>
      <c r="C1" s="1" t="inlineStr">
        <is>
          <t>PV Factor</t>
        </is>
      </c>
      <c r="D1" s="1" t="inlineStr">
        <is>
          <t>PV of Cash Flow</t>
        </is>
      </c>
    </row>
    <row r="2">
      <c r="A2" t="n">
        <v>1</v>
      </c>
      <c r="B2" t="n">
        <v>1800000</v>
      </c>
      <c r="C2">
        <f>1/(1+0.05)^A2</f>
        <v/>
      </c>
      <c r="D2">
        <f>B2*C2</f>
        <v/>
      </c>
    </row>
    <row r="3">
      <c r="A3" t="n">
        <v>2</v>
      </c>
      <c r="B3" t="n">
        <v>1800000</v>
      </c>
      <c r="C3">
        <f>1/(1+0.05)^A3</f>
        <v/>
      </c>
      <c r="D3">
        <f>B3*C3</f>
        <v/>
      </c>
    </row>
    <row r="4">
      <c r="A4" t="n">
        <v>3</v>
      </c>
      <c r="B4" t="n">
        <v>1800000</v>
      </c>
      <c r="C4">
        <f>1/(1+0.05)^A4</f>
        <v/>
      </c>
      <c r="D4">
        <f>B4*C4</f>
        <v/>
      </c>
    </row>
    <row r="5">
      <c r="A5" t="n">
        <v>4</v>
      </c>
      <c r="B5" t="n">
        <v>1800000</v>
      </c>
      <c r="C5">
        <f>1/(1+0.05)^A5</f>
        <v/>
      </c>
      <c r="D5">
        <f>B5*C5</f>
        <v/>
      </c>
    </row>
    <row r="6">
      <c r="A6" t="n">
        <v>5</v>
      </c>
      <c r="B6" t="n">
        <v>1800000</v>
      </c>
      <c r="C6">
        <f>1/(1+0.05)^A6</f>
        <v/>
      </c>
      <c r="D6">
        <f>B6*C6</f>
        <v/>
      </c>
    </row>
    <row r="8">
      <c r="C8" t="inlineStr">
        <is>
          <t>Total PV</t>
        </is>
      </c>
      <c r="D8">
        <f>SUM(D2:D6)</f>
        <v/>
      </c>
    </row>
    <row r="9">
      <c r="C9" t="inlineStr">
        <is>
          <t>NPV</t>
        </is>
      </c>
      <c r="D9">
        <f>D8-7000000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Manual Cost</t>
        </is>
      </c>
      <c r="C1" s="1" t="inlineStr">
        <is>
          <t>Drone Cost</t>
        </is>
      </c>
    </row>
    <row r="2">
      <c r="A2" t="n">
        <v>1</v>
      </c>
      <c r="B2" t="n">
        <v>4000000</v>
      </c>
      <c r="C2" t="n">
        <v>2200000</v>
      </c>
    </row>
    <row r="3">
      <c r="A3" t="n">
        <v>2</v>
      </c>
      <c r="B3" t="n">
        <v>4000000</v>
      </c>
      <c r="C3" t="n">
        <v>2200000</v>
      </c>
    </row>
    <row r="4">
      <c r="A4" t="n">
        <v>3</v>
      </c>
      <c r="B4" t="n">
        <v>4000000</v>
      </c>
      <c r="C4" t="n">
        <v>2200000</v>
      </c>
    </row>
    <row r="5">
      <c r="A5" t="n">
        <v>4</v>
      </c>
      <c r="B5" t="n">
        <v>4000000</v>
      </c>
      <c r="C5" t="n">
        <v>2200000</v>
      </c>
    </row>
    <row r="6">
      <c r="A6" t="n">
        <v>5</v>
      </c>
      <c r="B6" t="n">
        <v>4000000</v>
      </c>
      <c r="C6" t="n">
        <v>2200000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2026-03-13T18:40:48Z</dcterms:created>
  <dcterms:modified xmlns:dcterms="http://purl.org/dc/terms/" xmlns:xsi="http://www.w3.org/2001/XMLSchema-instance" xsi:type="dcterms:W3CDTF">2026-03-13T18:40:48Z</dcterms:modified>
</cp:coreProperties>
</file>